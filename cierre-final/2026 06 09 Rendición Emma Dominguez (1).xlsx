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domingu\Desktop\"/>
    </mc:Choice>
  </mc:AlternateContent>
  <xr:revisionPtr revIDLastSave="0" documentId="13_ncr:1_{E3E0D66E-BD43-48E2-9E99-E6E5D4965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ndición Emma Domingue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60" i="1"/>
  <c r="C64" i="1"/>
  <c r="C63" i="1"/>
  <c r="C65" i="1"/>
  <c r="C5" i="1"/>
  <c r="E3" i="1"/>
  <c r="E4" i="1" s="1"/>
  <c r="C41" i="1"/>
  <c r="C43" i="1" s="1"/>
  <c r="A19" i="1"/>
  <c r="D18" i="1"/>
  <c r="D17" i="1"/>
  <c r="D16" i="1"/>
  <c r="C53" i="1"/>
  <c r="C48" i="1"/>
  <c r="C36" i="1"/>
  <c r="C30" i="1"/>
  <c r="C25" i="1"/>
  <c r="D12" i="1"/>
  <c r="E5" i="1" l="1"/>
  <c r="E6" i="1" s="1"/>
  <c r="E7" i="1" s="1"/>
  <c r="E8" i="1" s="1"/>
  <c r="E9" i="1" s="1"/>
  <c r="E10" i="1" s="1"/>
  <c r="E11" i="1" s="1"/>
  <c r="D19" i="1"/>
  <c r="C12" i="1"/>
  <c r="E12" i="1" s="1"/>
</calcChain>
</file>

<file path=xl/sharedStrings.xml><?xml version="1.0" encoding="utf-8"?>
<sst xmlns="http://schemas.openxmlformats.org/spreadsheetml/2006/main" count="70" uniqueCount="61">
  <si>
    <t>FECHA</t>
  </si>
  <si>
    <t>DETALLE</t>
  </si>
  <si>
    <t>EGRESOS</t>
  </si>
  <si>
    <t>INGRESOS</t>
  </si>
  <si>
    <t>SALDO</t>
  </si>
  <si>
    <t>ENTRADA</t>
  </si>
  <si>
    <t>Transferencia Recibida Juan Genes - Reposición</t>
  </si>
  <si>
    <t>Transferencia Recibida Leticia Montiel - Auspicio Remax</t>
  </si>
  <si>
    <t>Pago Helados</t>
  </si>
  <si>
    <t>Pago Copipunto S.A. (400 pulseras + 400 tarjetas de juegos + diseño)</t>
  </si>
  <si>
    <t>Transferencia Pago Extra al Proveedor Rojitas</t>
  </si>
  <si>
    <t>TOTALES</t>
  </si>
  <si>
    <t>RESUMEN MOVIMIENTOS TESORERÍA</t>
  </si>
  <si>
    <t>VALORES ENTREGADOS  POR CAJEROS - 06/06/2026</t>
  </si>
  <si>
    <t>CAJA 1</t>
  </si>
  <si>
    <t>CINTHYA ROA</t>
  </si>
  <si>
    <t>Efectivo</t>
  </si>
  <si>
    <t>Transferencia</t>
  </si>
  <si>
    <t>TOTAL RECIBIDO CAJA 1</t>
  </si>
  <si>
    <t>CAJA 2</t>
  </si>
  <si>
    <t>LETICIA MONTIEL</t>
  </si>
  <si>
    <t>TOTAL RECIBIDO CAJA 2</t>
  </si>
  <si>
    <t>CAJA 3</t>
  </si>
  <si>
    <t>JOSÉ VANDELEIS</t>
  </si>
  <si>
    <t>Efectivo Caja</t>
  </si>
  <si>
    <t>Efectivo Rifa</t>
  </si>
  <si>
    <t>CAJA 4</t>
  </si>
  <si>
    <t>EMMA DOMINGUEZ</t>
  </si>
  <si>
    <t>CAJA 5</t>
  </si>
  <si>
    <t>CRISTHYAN NORDHOFF</t>
  </si>
  <si>
    <t>NERY RIVERO</t>
  </si>
  <si>
    <t>Saldo Pulserita (cantidad inicial: 400 unid)</t>
  </si>
  <si>
    <t>TOTAL RECIBIDO ENTRADA</t>
  </si>
  <si>
    <t>POSTRES</t>
  </si>
  <si>
    <t>DESCRIPCION</t>
  </si>
  <si>
    <t>COSTO TOTAL</t>
  </si>
  <si>
    <t>COSTO UNITARIO</t>
  </si>
  <si>
    <t>CANTIDAD VENDIDA</t>
  </si>
  <si>
    <t xml:space="preserve">Budín de Pan </t>
  </si>
  <si>
    <t>Maní con Miel</t>
  </si>
  <si>
    <t>Batata con Queso PY</t>
  </si>
  <si>
    <t>TOTAL RECIBIDO CAJA 5</t>
  </si>
  <si>
    <t>Reporte POS</t>
  </si>
  <si>
    <t>Combos Comida Invitados (14 x Gs 45.000)</t>
  </si>
  <si>
    <t>Pago Don Domingo</t>
  </si>
  <si>
    <t>TOTAL VALORES DE CAJA</t>
  </si>
  <si>
    <t xml:space="preserve">                                  </t>
  </si>
  <si>
    <t xml:space="preserve">            </t>
  </si>
  <si>
    <t>Cancelación Pago Mbeju - Patricia Cantero</t>
  </si>
  <si>
    <t>Pago por Bolsas, Plásticos, Bandejitas, Alfajores, etc.</t>
  </si>
  <si>
    <t>SALDO INICIAL - Fondo recibido de Leticia Montiel</t>
  </si>
  <si>
    <t>RESUMEN</t>
  </si>
  <si>
    <t>Total Efectivo en Cajas</t>
  </si>
  <si>
    <t>Saldo Movimientos Tesorería</t>
  </si>
  <si>
    <t>Costo de Postres</t>
  </si>
  <si>
    <t>Transferencias recibidas de Cajas</t>
  </si>
  <si>
    <t>IMPORTES DE CAJAS</t>
  </si>
  <si>
    <t>Saldo sobrante Aporte Rifa Mundial</t>
  </si>
  <si>
    <t>IMPORTES A REPONER</t>
  </si>
  <si>
    <t>Total Pendiente de Pago</t>
  </si>
  <si>
    <t>Importe transferido a la cuenta de Juan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</si>
</sst>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164" formatCode="dd/mm/yyyy;@"/>
    <numFmt numFmtId="165" formatCode="mmm"/>
    <numFmt numFmtId="166" formatCode="0_);\-0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 tint="0.14996795556505021"/>
      <name val="Calibri Light"/>
      <family val="2"/>
      <scheme val="major"/>
    </font>
    <font>
      <sz val="10"/>
      <color theme="1" tint="0.1499984740745262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B05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rgb="FF00B050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165" fontId="2" fillId="0" borderId="1">
      <alignment horizontal="right" vertical="center" wrapText="1" indent="1"/>
    </xf>
    <xf numFmtId="166" fontId="3" fillId="4" borderId="2" applyFont="0" applyAlignment="0">
      <alignment vertical="center"/>
    </xf>
  </cellStyleXfs>
  <cellXfs count="60">
    <xf numFmtId="0" fontId="0" fillId="0" borderId="0" xfId="0"/>
    <xf numFmtId="0" fontId="9" fillId="0" borderId="0" xfId="0" applyFont="1"/>
    <xf numFmtId="164" fontId="5" fillId="3" borderId="3" xfId="0" applyNumberFormat="1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3" fontId="10" fillId="2" borderId="3" xfId="0" applyNumberFormat="1" applyFont="1" applyFill="1" applyBorder="1" applyAlignment="1">
      <alignment horizontal="right" vertical="center" wrapText="1"/>
    </xf>
    <xf numFmtId="3" fontId="11" fillId="2" borderId="3" xfId="0" applyNumberFormat="1" applyFont="1" applyFill="1" applyBorder="1" applyAlignment="1">
      <alignment horizontal="right" vertical="center" wrapText="1"/>
    </xf>
    <xf numFmtId="3" fontId="4" fillId="2" borderId="3" xfId="0" applyNumberFormat="1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center" vertical="center"/>
    </xf>
    <xf numFmtId="0" fontId="10" fillId="0" borderId="0" xfId="0" applyFont="1"/>
    <xf numFmtId="3" fontId="10" fillId="0" borderId="3" xfId="0" applyNumberFormat="1" applyFont="1" applyBorder="1" applyAlignment="1">
      <alignment horizontal="right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/>
    </xf>
    <xf numFmtId="3" fontId="13" fillId="0" borderId="3" xfId="0" applyNumberFormat="1" applyFont="1" applyBorder="1" applyAlignment="1">
      <alignment horizontal="right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 wrapText="1"/>
    </xf>
    <xf numFmtId="3" fontId="7" fillId="2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3" fontId="13" fillId="2" borderId="0" xfId="0" applyNumberFormat="1" applyFont="1" applyFill="1" applyAlignment="1">
      <alignment horizontal="right" vertical="center" wrapText="1"/>
    </xf>
    <xf numFmtId="0" fontId="8" fillId="5" borderId="0" xfId="0" applyFont="1" applyFill="1" applyAlignment="1">
      <alignment horizontal="left" vertical="center"/>
    </xf>
    <xf numFmtId="3" fontId="12" fillId="5" borderId="0" xfId="0" applyNumberFormat="1" applyFont="1" applyFill="1" applyAlignment="1">
      <alignment horizontal="right" vertical="center" wrapText="1"/>
    </xf>
    <xf numFmtId="164" fontId="10" fillId="5" borderId="3" xfId="0" applyNumberFormat="1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left" vertical="center"/>
    </xf>
    <xf numFmtId="3" fontId="6" fillId="5" borderId="3" xfId="0" applyNumberFormat="1" applyFont="1" applyFill="1" applyBorder="1" applyAlignment="1">
      <alignment horizontal="right" vertical="center" wrapText="1"/>
    </xf>
    <xf numFmtId="3" fontId="7" fillId="5" borderId="3" xfId="0" applyNumberFormat="1" applyFont="1" applyFill="1" applyBorder="1" applyAlignment="1">
      <alignment horizontal="right" vertical="center" wrapText="1"/>
    </xf>
    <xf numFmtId="164" fontId="5" fillId="7" borderId="0" xfId="0" applyNumberFormat="1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3" fontId="12" fillId="8" borderId="0" xfId="0" applyNumberFormat="1" applyFont="1" applyFill="1" applyAlignment="1">
      <alignment horizontal="right" vertical="center" wrapText="1"/>
    </xf>
    <xf numFmtId="164" fontId="5" fillId="8" borderId="0" xfId="0" applyNumberFormat="1" applyFont="1" applyFill="1" applyAlignment="1">
      <alignment horizontal="left" vertical="center"/>
    </xf>
    <xf numFmtId="1" fontId="5" fillId="5" borderId="0" xfId="0" applyNumberFormat="1" applyFont="1" applyFill="1" applyAlignment="1">
      <alignment horizontal="center" vertical="center" wrapText="1"/>
    </xf>
    <xf numFmtId="3" fontId="6" fillId="5" borderId="0" xfId="0" applyNumberFormat="1" applyFont="1" applyFill="1" applyAlignment="1">
      <alignment horizontal="right" vertical="center" wrapText="1"/>
    </xf>
    <xf numFmtId="41" fontId="9" fillId="0" borderId="0" xfId="1" applyFont="1"/>
    <xf numFmtId="0" fontId="8" fillId="5" borderId="0" xfId="0" applyFont="1" applyFill="1"/>
    <xf numFmtId="41" fontId="13" fillId="2" borderId="0" xfId="1" applyFont="1" applyFill="1" applyBorder="1" applyAlignment="1">
      <alignment horizontal="right" vertical="center" wrapText="1"/>
    </xf>
    <xf numFmtId="41" fontId="8" fillId="5" borderId="0" xfId="1" applyFont="1" applyFill="1"/>
    <xf numFmtId="0" fontId="13" fillId="0" borderId="0" xfId="0" applyFont="1"/>
    <xf numFmtId="0" fontId="8" fillId="6" borderId="0" xfId="0" applyFont="1" applyFill="1"/>
    <xf numFmtId="0" fontId="9" fillId="6" borderId="0" xfId="0" applyFont="1" applyFill="1"/>
    <xf numFmtId="0" fontId="9" fillId="0" borderId="3" xfId="0" applyFont="1" applyBorder="1"/>
    <xf numFmtId="41" fontId="9" fillId="0" borderId="3" xfId="0" applyNumberFormat="1" applyFont="1" applyBorder="1"/>
    <xf numFmtId="3" fontId="9" fillId="0" borderId="3" xfId="0" applyNumberFormat="1" applyFont="1" applyBorder="1"/>
    <xf numFmtId="0" fontId="8" fillId="7" borderId="3" xfId="0" applyFont="1" applyFill="1" applyBorder="1"/>
    <xf numFmtId="3" fontId="8" fillId="7" borderId="3" xfId="0" applyNumberFormat="1" applyFont="1" applyFill="1" applyBorder="1"/>
    <xf numFmtId="41" fontId="8" fillId="7" borderId="3" xfId="0" applyNumberFormat="1" applyFont="1" applyFill="1" applyBorder="1"/>
    <xf numFmtId="0" fontId="12" fillId="0" borderId="0" xfId="0" applyFont="1"/>
    <xf numFmtId="0" fontId="8" fillId="5" borderId="3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left" vertical="top" wrapText="1"/>
    </xf>
    <xf numFmtId="164" fontId="5" fillId="5" borderId="0" xfId="0" applyNumberFormat="1" applyFont="1" applyFill="1" applyAlignment="1">
      <alignment horizontal="center" vertical="center" wrapText="1"/>
    </xf>
    <xf numFmtId="0" fontId="8" fillId="6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</cellXfs>
  <cellStyles count="4">
    <cellStyle name="Millares [0]" xfId="1" builtinId="6"/>
    <cellStyle name="Month" xfId="2" xr:uid="{B1CC81DA-C6A4-408A-AB65-359BBFF22506}"/>
    <cellStyle name="Normal" xfId="0" builtinId="0"/>
    <cellStyle name="Totals" xfId="3" xr:uid="{43730913-14CA-45AD-B1F0-DD32141FDF00}"/>
  </cellStyles>
  <dxfs count="14">
    <dxf>
      <fill>
        <patternFill patternType="none">
          <bgColor auto="1"/>
        </patternFill>
      </fill>
      <border>
        <vertical/>
        <horizontal/>
      </border>
    </dxf>
    <dxf>
      <font>
        <color theme="1" tint="0.14996795556505021"/>
      </font>
    </dxf>
    <dxf>
      <border diagonalUp="0" diagonalDown="0">
        <left style="dotted">
          <color theme="0" tint="-0.34998626667073579"/>
        </left>
        <right style="dotted">
          <color theme="0" tint="-0.34998626667073579"/>
        </right>
        <top style="thin">
          <color theme="0" tint="-0.34998626667073579"/>
        </top>
        <bottom style="dotted">
          <color theme="0" tint="-0.34998626667073579"/>
        </bottom>
        <vertical/>
        <horizontal/>
      </border>
    </dxf>
    <dxf>
      <font>
        <b val="0"/>
        <i val="0"/>
        <color theme="1" tint="0.34998626667073579"/>
      </font>
    </dxf>
    <dxf>
      <font>
        <b val="0"/>
        <i val="0"/>
        <color theme="1" tint="0.14990691854609822"/>
      </font>
      <fill>
        <patternFill patternType="solid">
          <bgColor theme="4" tint="0.79998168889431442"/>
        </patternFill>
      </fill>
      <border>
        <top/>
        <bottom style="medium">
          <color theme="4" tint="0.39994506668294322"/>
        </bottom>
      </border>
    </dxf>
    <dxf>
      <font>
        <b val="0"/>
        <i val="0"/>
        <color theme="1" tint="0.14990691854609822"/>
      </font>
    </dxf>
    <dxf>
      <font>
        <color theme="1" tint="0.499984740745262"/>
      </font>
      <border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dotted">
          <color theme="0" tint="-0.34998626667073579"/>
        </vertical>
        <horizontal style="thin">
          <color theme="0" tint="-0.34998626667073579"/>
        </horizontal>
      </border>
    </dxf>
    <dxf>
      <fill>
        <patternFill patternType="none">
          <bgColor auto="1"/>
        </patternFill>
      </fill>
      <border>
        <vertical/>
        <horizontal/>
      </border>
    </dxf>
    <dxf>
      <font>
        <color theme="1" tint="0.14996795556505021"/>
      </font>
    </dxf>
    <dxf>
      <border diagonalUp="0" diagonalDown="0">
        <left style="dotted">
          <color theme="0" tint="-0.34998626667073579"/>
        </left>
        <right style="dotted">
          <color theme="0" tint="-0.34998626667073579"/>
        </right>
        <top style="thin">
          <color theme="0" tint="-0.34998626667073579"/>
        </top>
        <bottom style="dotted">
          <color theme="0" tint="-0.34998626667073579"/>
        </bottom>
        <vertical/>
        <horizontal/>
      </border>
    </dxf>
    <dxf>
      <font>
        <b val="0"/>
        <i val="0"/>
        <color theme="1" tint="0.34998626667073579"/>
      </font>
    </dxf>
    <dxf>
      <font>
        <b val="0"/>
        <i val="0"/>
        <color theme="1" tint="0.14990691854609822"/>
      </font>
      <fill>
        <patternFill patternType="solid">
          <bgColor theme="4" tint="0.79998168889431442"/>
        </patternFill>
      </fill>
      <border>
        <top/>
        <bottom style="medium">
          <color theme="4" tint="0.39994506668294322"/>
        </bottom>
      </border>
    </dxf>
    <dxf>
      <font>
        <b val="0"/>
        <i val="0"/>
        <color theme="1" tint="0.14990691854609822"/>
      </font>
    </dxf>
    <dxf>
      <font>
        <color theme="1" tint="0.499984740745262"/>
      </font>
      <border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dotted">
          <color theme="0" tint="-0.34998626667073579"/>
        </vertical>
        <horizontal style="thin">
          <color theme="0" tint="-0.34998626667073579"/>
        </horizontal>
      </border>
    </dxf>
  </dxfs>
  <tableStyles count="2" defaultTableStyle="TableStyleMedium2" defaultPivotStyle="PivotStyleLight16">
    <tableStyle name="Cash Receipts" pivot="0" count="7" xr9:uid="{2D748BCB-A7CB-4A48-8293-60EC7E845566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TotalCell" dxfId="8"/>
      <tableStyleElement type="lastTotalCell" dxfId="7"/>
    </tableStyle>
    <tableStyle name="Cash Receipts 2" pivot="0" count="7" xr9:uid="{DBC2689A-DC33-45F7-B3FD-B8AC785D354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showGridLines="0" tabSelected="1" zoomScale="90" zoomScaleNormal="90" workbookViewId="0">
      <selection activeCell="E61" sqref="E61"/>
    </sheetView>
  </sheetViews>
  <sheetFormatPr baseColWidth="10" defaultColWidth="19.21875" defaultRowHeight="14.4" x14ac:dyDescent="0.3"/>
  <cols>
    <col min="1" max="1" width="14.21875" style="1" customWidth="1"/>
    <col min="2" max="2" width="60" style="1" bestFit="1" customWidth="1"/>
    <col min="3" max="3" width="17.109375" style="1" customWidth="1"/>
    <col min="4" max="4" width="19.33203125" style="1" customWidth="1"/>
    <col min="5" max="5" width="18.77734375" style="1" customWidth="1"/>
    <col min="6" max="6" width="21" style="1" bestFit="1" customWidth="1"/>
    <col min="7" max="16384" width="19.21875" style="1"/>
  </cols>
  <sheetData>
    <row r="1" spans="1:6" x14ac:dyDescent="0.3">
      <c r="A1" s="46" t="s">
        <v>12</v>
      </c>
      <c r="B1" s="47"/>
    </row>
    <row r="2" spans="1:6" x14ac:dyDescent="0.3">
      <c r="A2" s="2" t="s">
        <v>0</v>
      </c>
      <c r="B2" s="12" t="s">
        <v>1</v>
      </c>
      <c r="C2" s="3" t="s">
        <v>2</v>
      </c>
      <c r="D2" s="4" t="s">
        <v>3</v>
      </c>
      <c r="E2" s="5" t="s">
        <v>4</v>
      </c>
    </row>
    <row r="3" spans="1:6" x14ac:dyDescent="0.3">
      <c r="A3" s="6">
        <v>46165</v>
      </c>
      <c r="B3" s="7" t="s">
        <v>50</v>
      </c>
      <c r="C3" s="8"/>
      <c r="D3" s="9">
        <v>1433900</v>
      </c>
      <c r="E3" s="10">
        <f>D3</f>
        <v>1433900</v>
      </c>
    </row>
    <row r="4" spans="1:6" x14ac:dyDescent="0.3">
      <c r="A4" s="6">
        <v>46165</v>
      </c>
      <c r="B4" s="7" t="s">
        <v>57</v>
      </c>
      <c r="C4" s="8"/>
      <c r="D4" s="9">
        <v>84700</v>
      </c>
      <c r="E4" s="10">
        <f>E3+D4</f>
        <v>1518600</v>
      </c>
    </row>
    <row r="5" spans="1:6" s="13" customFormat="1" x14ac:dyDescent="0.3">
      <c r="A5" s="15">
        <v>46165</v>
      </c>
      <c r="B5" s="16" t="s">
        <v>49</v>
      </c>
      <c r="C5" s="14">
        <f>-507400-6200</f>
        <v>-513600</v>
      </c>
      <c r="D5" s="17"/>
      <c r="E5" s="17">
        <f>E4+C5</f>
        <v>1005000</v>
      </c>
      <c r="F5" s="45"/>
    </row>
    <row r="6" spans="1:6" x14ac:dyDescent="0.3">
      <c r="A6" s="6">
        <v>46172</v>
      </c>
      <c r="B6" s="11" t="s">
        <v>10</v>
      </c>
      <c r="C6" s="8">
        <v>-2000000</v>
      </c>
      <c r="D6" s="9"/>
      <c r="E6" s="10">
        <f>E5+C6</f>
        <v>-995000</v>
      </c>
    </row>
    <row r="7" spans="1:6" x14ac:dyDescent="0.3">
      <c r="A7" s="6">
        <v>46173</v>
      </c>
      <c r="B7" s="7" t="s">
        <v>6</v>
      </c>
      <c r="C7" s="8"/>
      <c r="D7" s="9">
        <v>942000</v>
      </c>
      <c r="E7" s="10">
        <f>E6+D7</f>
        <v>-53000</v>
      </c>
    </row>
    <row r="8" spans="1:6" x14ac:dyDescent="0.3">
      <c r="A8" s="6">
        <v>46174</v>
      </c>
      <c r="B8" s="11" t="s">
        <v>7</v>
      </c>
      <c r="C8" s="8"/>
      <c r="D8" s="9">
        <v>500000</v>
      </c>
      <c r="E8" s="10">
        <f>E7+D8</f>
        <v>447000</v>
      </c>
    </row>
    <row r="9" spans="1:6" x14ac:dyDescent="0.3">
      <c r="A9" s="6">
        <v>46177</v>
      </c>
      <c r="B9" s="11" t="s">
        <v>9</v>
      </c>
      <c r="C9" s="8">
        <v>-675500</v>
      </c>
      <c r="D9" s="9"/>
      <c r="E9" s="10">
        <f>E8+C9</f>
        <v>-228500</v>
      </c>
      <c r="F9" s="1" t="s">
        <v>46</v>
      </c>
    </row>
    <row r="10" spans="1:6" x14ac:dyDescent="0.3">
      <c r="A10" s="6">
        <v>46178</v>
      </c>
      <c r="B10" s="11" t="s">
        <v>8</v>
      </c>
      <c r="C10" s="8">
        <v>-445000</v>
      </c>
      <c r="D10" s="9"/>
      <c r="E10" s="10">
        <f>E9+C10</f>
        <v>-673500</v>
      </c>
    </row>
    <row r="11" spans="1:6" x14ac:dyDescent="0.3">
      <c r="A11" s="6">
        <v>46179</v>
      </c>
      <c r="B11" s="11" t="s">
        <v>48</v>
      </c>
      <c r="C11" s="8">
        <v>-1152000</v>
      </c>
      <c r="D11" s="9"/>
      <c r="E11" s="10">
        <f>E10+C11</f>
        <v>-1825500</v>
      </c>
    </row>
    <row r="12" spans="1:6" x14ac:dyDescent="0.3">
      <c r="A12" s="27"/>
      <c r="B12" s="28" t="s">
        <v>11</v>
      </c>
      <c r="C12" s="29">
        <f>SUM(C3:C11)</f>
        <v>-4786100</v>
      </c>
      <c r="D12" s="30">
        <f>SUM(D3:D11)</f>
        <v>2960600</v>
      </c>
      <c r="E12" s="29">
        <f>D12+C12</f>
        <v>-1825500</v>
      </c>
      <c r="F12" s="54"/>
    </row>
    <row r="13" spans="1:6" x14ac:dyDescent="0.3">
      <c r="A13" s="18"/>
      <c r="B13" s="19"/>
      <c r="C13" s="20"/>
      <c r="D13" s="21"/>
      <c r="E13" s="20"/>
    </row>
    <row r="14" spans="1:6" x14ac:dyDescent="0.3">
      <c r="A14" s="57" t="s">
        <v>33</v>
      </c>
      <c r="B14" s="57"/>
      <c r="C14" s="57"/>
      <c r="D14" s="57"/>
      <c r="E14" s="20"/>
    </row>
    <row r="15" spans="1:6" ht="28.8" x14ac:dyDescent="0.3">
      <c r="A15" s="31" t="s">
        <v>37</v>
      </c>
      <c r="B15" s="32" t="s">
        <v>34</v>
      </c>
      <c r="C15" s="33" t="s">
        <v>36</v>
      </c>
      <c r="D15" s="33" t="s">
        <v>35</v>
      </c>
      <c r="E15" s="20"/>
      <c r="F15" s="1" t="s">
        <v>47</v>
      </c>
    </row>
    <row r="16" spans="1:6" x14ac:dyDescent="0.3">
      <c r="A16" s="34">
        <v>32</v>
      </c>
      <c r="B16" s="35" t="s">
        <v>38</v>
      </c>
      <c r="C16" s="24">
        <v>2800</v>
      </c>
      <c r="D16" s="24">
        <f>C16*A16</f>
        <v>89600</v>
      </c>
      <c r="E16" s="20"/>
    </row>
    <row r="17" spans="1:5" x14ac:dyDescent="0.3">
      <c r="A17" s="34">
        <v>10</v>
      </c>
      <c r="B17" s="35" t="s">
        <v>39</v>
      </c>
      <c r="C17" s="24">
        <v>2500</v>
      </c>
      <c r="D17" s="24">
        <f>C17*A17</f>
        <v>25000</v>
      </c>
      <c r="E17" s="20"/>
    </row>
    <row r="18" spans="1:5" x14ac:dyDescent="0.3">
      <c r="A18" s="34">
        <v>11</v>
      </c>
      <c r="B18" s="35" t="s">
        <v>40</v>
      </c>
      <c r="C18" s="24">
        <v>2500</v>
      </c>
      <c r="D18" s="24">
        <f>C18*A18</f>
        <v>27500</v>
      </c>
      <c r="E18" s="20"/>
    </row>
    <row r="19" spans="1:5" x14ac:dyDescent="0.3">
      <c r="A19" s="39">
        <f>A18+A17+A16</f>
        <v>53</v>
      </c>
      <c r="B19" s="25" t="s">
        <v>11</v>
      </c>
      <c r="C19" s="40"/>
      <c r="D19" s="26">
        <f>D18+D17+D16</f>
        <v>142100</v>
      </c>
      <c r="E19" s="20"/>
    </row>
    <row r="20" spans="1:5" x14ac:dyDescent="0.3">
      <c r="A20" s="18"/>
      <c r="B20" s="19"/>
      <c r="C20" s="20"/>
      <c r="D20" s="21"/>
      <c r="E20" s="20"/>
    </row>
    <row r="21" spans="1:5" x14ac:dyDescent="0.3">
      <c r="A21" s="38" t="s">
        <v>13</v>
      </c>
      <c r="B21" s="36"/>
      <c r="C21" s="20"/>
      <c r="D21" s="21"/>
      <c r="E21" s="20"/>
    </row>
    <row r="22" spans="1:5" x14ac:dyDescent="0.3">
      <c r="A22" s="22" t="s">
        <v>14</v>
      </c>
      <c r="B22" s="19" t="s">
        <v>15</v>
      </c>
      <c r="C22" s="20"/>
      <c r="D22" s="21"/>
      <c r="E22" s="20"/>
    </row>
    <row r="23" spans="1:5" x14ac:dyDescent="0.3">
      <c r="A23" s="18"/>
      <c r="B23" s="23" t="s">
        <v>16</v>
      </c>
      <c r="C23" s="24">
        <v>1094000</v>
      </c>
      <c r="D23" s="21"/>
      <c r="E23" s="20"/>
    </row>
    <row r="24" spans="1:5" x14ac:dyDescent="0.3">
      <c r="A24" s="18"/>
      <c r="B24" s="23" t="s">
        <v>17</v>
      </c>
      <c r="C24" s="24">
        <v>684000</v>
      </c>
      <c r="D24" s="21"/>
      <c r="E24" s="20"/>
    </row>
    <row r="25" spans="1:5" x14ac:dyDescent="0.3">
      <c r="A25" s="18"/>
      <c r="B25" s="36" t="s">
        <v>18</v>
      </c>
      <c r="C25" s="37">
        <f>C24+C23</f>
        <v>1778000</v>
      </c>
      <c r="D25" s="21"/>
      <c r="E25" s="20"/>
    </row>
    <row r="26" spans="1:5" x14ac:dyDescent="0.3">
      <c r="A26" s="18"/>
      <c r="B26" s="19"/>
      <c r="C26" s="20"/>
      <c r="D26" s="21"/>
      <c r="E26" s="20"/>
    </row>
    <row r="27" spans="1:5" x14ac:dyDescent="0.3">
      <c r="A27" s="22" t="s">
        <v>19</v>
      </c>
      <c r="B27" s="19" t="s">
        <v>20</v>
      </c>
      <c r="C27" s="20"/>
      <c r="D27" s="21"/>
      <c r="E27" s="20"/>
    </row>
    <row r="28" spans="1:5" x14ac:dyDescent="0.3">
      <c r="A28" s="18"/>
      <c r="B28" s="23" t="s">
        <v>16</v>
      </c>
      <c r="C28" s="24">
        <v>1542000</v>
      </c>
      <c r="D28" s="21"/>
      <c r="E28" s="20"/>
    </row>
    <row r="29" spans="1:5" x14ac:dyDescent="0.3">
      <c r="A29" s="18"/>
      <c r="B29" s="23" t="s">
        <v>17</v>
      </c>
      <c r="C29" s="24">
        <v>61000</v>
      </c>
      <c r="D29" s="21"/>
      <c r="E29" s="20"/>
    </row>
    <row r="30" spans="1:5" x14ac:dyDescent="0.3">
      <c r="A30" s="18"/>
      <c r="B30" s="36" t="s">
        <v>21</v>
      </c>
      <c r="C30" s="37">
        <f>C29+C28</f>
        <v>1603000</v>
      </c>
      <c r="D30" s="21"/>
      <c r="E30" s="20"/>
    </row>
    <row r="31" spans="1:5" x14ac:dyDescent="0.3">
      <c r="A31" s="18"/>
      <c r="B31" s="19"/>
      <c r="C31" s="20"/>
      <c r="D31" s="21"/>
      <c r="E31" s="20"/>
    </row>
    <row r="32" spans="1:5" x14ac:dyDescent="0.3">
      <c r="A32" s="22" t="s">
        <v>22</v>
      </c>
      <c r="B32" s="19" t="s">
        <v>23</v>
      </c>
      <c r="C32" s="20"/>
      <c r="D32" s="21"/>
      <c r="E32" s="20"/>
    </row>
    <row r="33" spans="1:5" x14ac:dyDescent="0.3">
      <c r="A33" s="18"/>
      <c r="B33" s="23" t="s">
        <v>24</v>
      </c>
      <c r="C33" s="24">
        <v>865000</v>
      </c>
      <c r="D33" s="21"/>
      <c r="E33" s="20"/>
    </row>
    <row r="34" spans="1:5" x14ac:dyDescent="0.3">
      <c r="A34" s="18"/>
      <c r="B34" s="23" t="s">
        <v>25</v>
      </c>
      <c r="C34" s="24">
        <v>60000</v>
      </c>
      <c r="D34" s="21"/>
      <c r="E34" s="20"/>
    </row>
    <row r="35" spans="1:5" x14ac:dyDescent="0.3">
      <c r="A35" s="18"/>
      <c r="B35" s="23" t="s">
        <v>17</v>
      </c>
      <c r="C35" s="24">
        <v>100000</v>
      </c>
      <c r="D35" s="21"/>
      <c r="E35" s="20"/>
    </row>
    <row r="36" spans="1:5" x14ac:dyDescent="0.3">
      <c r="A36" s="18"/>
      <c r="B36" s="36" t="s">
        <v>21</v>
      </c>
      <c r="C36" s="37">
        <f>C35+C33+C34</f>
        <v>1025000</v>
      </c>
      <c r="D36" s="21"/>
      <c r="E36" s="20"/>
    </row>
    <row r="37" spans="1:5" x14ac:dyDescent="0.3">
      <c r="A37" s="18"/>
      <c r="B37" s="19"/>
      <c r="C37" s="20"/>
      <c r="D37" s="21"/>
      <c r="E37" s="20"/>
    </row>
    <row r="38" spans="1:5" x14ac:dyDescent="0.3">
      <c r="A38" s="22" t="s">
        <v>26</v>
      </c>
      <c r="B38" s="19" t="s">
        <v>27</v>
      </c>
      <c r="C38" s="20"/>
      <c r="D38" s="21"/>
      <c r="E38" s="20"/>
    </row>
    <row r="39" spans="1:5" x14ac:dyDescent="0.3">
      <c r="A39" s="18"/>
      <c r="B39" s="23" t="s">
        <v>16</v>
      </c>
      <c r="C39" s="43">
        <v>566000</v>
      </c>
      <c r="D39" s="21"/>
      <c r="E39" s="20"/>
    </row>
    <row r="40" spans="1:5" x14ac:dyDescent="0.3">
      <c r="B40" s="1" t="s">
        <v>42</v>
      </c>
      <c r="C40" s="41">
        <v>1377502</v>
      </c>
      <c r="D40" s="21"/>
      <c r="E40" s="20"/>
    </row>
    <row r="41" spans="1:5" x14ac:dyDescent="0.3">
      <c r="B41" s="1" t="s">
        <v>43</v>
      </c>
      <c r="C41" s="41">
        <f>14*45000</f>
        <v>630000</v>
      </c>
      <c r="D41" s="21"/>
      <c r="E41" s="20"/>
    </row>
    <row r="42" spans="1:5" x14ac:dyDescent="0.3">
      <c r="B42" s="1" t="s">
        <v>44</v>
      </c>
      <c r="C42" s="41">
        <v>150000</v>
      </c>
      <c r="D42" s="21"/>
      <c r="E42" s="20"/>
    </row>
    <row r="43" spans="1:5" x14ac:dyDescent="0.3">
      <c r="B43" s="42" t="s">
        <v>45</v>
      </c>
      <c r="C43" s="44">
        <f>SUM(C39:C42)</f>
        <v>2723502</v>
      </c>
      <c r="D43" s="21"/>
      <c r="E43" s="20"/>
    </row>
    <row r="44" spans="1:5" x14ac:dyDescent="0.3">
      <c r="A44" s="18"/>
      <c r="B44" s="19"/>
      <c r="C44" s="20"/>
      <c r="D44" s="21"/>
      <c r="E44" s="20"/>
    </row>
    <row r="45" spans="1:5" x14ac:dyDescent="0.3">
      <c r="A45" s="22" t="s">
        <v>28</v>
      </c>
      <c r="B45" s="19" t="s">
        <v>29</v>
      </c>
      <c r="C45" s="20"/>
      <c r="D45" s="21"/>
      <c r="E45" s="20"/>
    </row>
    <row r="46" spans="1:5" x14ac:dyDescent="0.3">
      <c r="A46" s="22"/>
      <c r="B46" s="23" t="s">
        <v>16</v>
      </c>
      <c r="C46" s="24">
        <v>4257000</v>
      </c>
      <c r="D46" s="21"/>
      <c r="E46" s="20"/>
    </row>
    <row r="47" spans="1:5" x14ac:dyDescent="0.3">
      <c r="A47" s="22"/>
      <c r="B47" s="23" t="s">
        <v>17</v>
      </c>
      <c r="C47" s="24">
        <v>128000</v>
      </c>
      <c r="D47" s="21"/>
      <c r="E47" s="20"/>
    </row>
    <row r="48" spans="1:5" x14ac:dyDescent="0.3">
      <c r="A48" s="22"/>
      <c r="B48" s="36" t="s">
        <v>41</v>
      </c>
      <c r="C48" s="37">
        <f>C47+C46</f>
        <v>4385000</v>
      </c>
      <c r="D48" s="21"/>
      <c r="E48" s="20"/>
    </row>
    <row r="49" spans="1:5" x14ac:dyDescent="0.3">
      <c r="A49" s="22"/>
      <c r="B49" s="19"/>
      <c r="C49" s="20"/>
      <c r="D49" s="21"/>
      <c r="E49" s="20"/>
    </row>
    <row r="50" spans="1:5" x14ac:dyDescent="0.3">
      <c r="A50" s="22" t="s">
        <v>5</v>
      </c>
      <c r="B50" s="19" t="s">
        <v>30</v>
      </c>
      <c r="C50" s="20"/>
      <c r="D50" s="21"/>
      <c r="E50" s="20"/>
    </row>
    <row r="51" spans="1:5" x14ac:dyDescent="0.3">
      <c r="A51" s="22"/>
      <c r="B51" s="23" t="s">
        <v>16</v>
      </c>
      <c r="C51" s="24">
        <v>1630000</v>
      </c>
      <c r="D51" s="21"/>
      <c r="E51" s="20"/>
    </row>
    <row r="52" spans="1:5" x14ac:dyDescent="0.3">
      <c r="A52" s="22"/>
      <c r="B52" s="23" t="s">
        <v>31</v>
      </c>
      <c r="C52" s="24">
        <v>115</v>
      </c>
      <c r="D52" s="21"/>
      <c r="E52" s="20"/>
    </row>
    <row r="53" spans="1:5" x14ac:dyDescent="0.3">
      <c r="A53" s="22"/>
      <c r="B53" s="36" t="s">
        <v>32</v>
      </c>
      <c r="C53" s="37">
        <f>C51</f>
        <v>1630000</v>
      </c>
      <c r="D53" s="21"/>
      <c r="E53" s="20"/>
    </row>
    <row r="54" spans="1:5" x14ac:dyDescent="0.3">
      <c r="A54" s="18"/>
      <c r="B54" s="19"/>
      <c r="C54" s="20"/>
      <c r="D54" s="21"/>
      <c r="E54" s="20"/>
    </row>
    <row r="56" spans="1:5" x14ac:dyDescent="0.3">
      <c r="B56" s="58" t="s">
        <v>51</v>
      </c>
      <c r="C56" s="59"/>
    </row>
    <row r="57" spans="1:5" x14ac:dyDescent="0.3">
      <c r="B57" s="55" t="s">
        <v>56</v>
      </c>
      <c r="C57" s="55"/>
    </row>
    <row r="58" spans="1:5" x14ac:dyDescent="0.3">
      <c r="B58" s="48" t="s">
        <v>52</v>
      </c>
      <c r="C58" s="49">
        <f>C23+C28+C33+C34+C39+C46+C51</f>
        <v>10014000</v>
      </c>
    </row>
    <row r="59" spans="1:5" x14ac:dyDescent="0.3">
      <c r="B59" s="48" t="s">
        <v>55</v>
      </c>
      <c r="C59" s="50">
        <f>C24+C29+C35+C47</f>
        <v>973000</v>
      </c>
    </row>
    <row r="60" spans="1:5" x14ac:dyDescent="0.3">
      <c r="B60" s="51" t="s">
        <v>60</v>
      </c>
      <c r="C60" s="52">
        <f>C59+C58</f>
        <v>10987000</v>
      </c>
    </row>
    <row r="62" spans="1:5" x14ac:dyDescent="0.3">
      <c r="B62" s="56" t="s">
        <v>58</v>
      </c>
      <c r="C62" s="56"/>
    </row>
    <row r="63" spans="1:5" x14ac:dyDescent="0.3">
      <c r="B63" s="48" t="s">
        <v>53</v>
      </c>
      <c r="C63" s="50">
        <f>-E12</f>
        <v>1825500</v>
      </c>
    </row>
    <row r="64" spans="1:5" x14ac:dyDescent="0.3">
      <c r="B64" s="48" t="s">
        <v>54</v>
      </c>
      <c r="C64" s="50">
        <f>D19</f>
        <v>142100</v>
      </c>
    </row>
    <row r="65" spans="2:3" x14ac:dyDescent="0.3">
      <c r="B65" s="51" t="s">
        <v>59</v>
      </c>
      <c r="C65" s="53">
        <f>C64+C63</f>
        <v>1967600</v>
      </c>
    </row>
  </sheetData>
  <mergeCells count="4">
    <mergeCell ref="B57:C57"/>
    <mergeCell ref="B62:C62"/>
    <mergeCell ref="A14:D14"/>
    <mergeCell ref="B56:C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Rendición Emma Dominguez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Maria Dominguez Jara</dc:creator>
  <cp:lastModifiedBy>Emma Maria Dominguez Jara</cp:lastModifiedBy>
  <dcterms:created xsi:type="dcterms:W3CDTF">2015-06-05T18:19:34Z</dcterms:created>
  <dcterms:modified xsi:type="dcterms:W3CDTF">2026-06-09T17:50:04Z</dcterms:modified>
</cp:coreProperties>
</file>